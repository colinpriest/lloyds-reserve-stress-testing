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ev\lloyds_reserve_stress_testing\docs\validation\"/>
    </mc:Choice>
  </mc:AlternateContent>
  <xr:revisionPtr revIDLastSave="0" documentId="13_ncr:1_{A127F17A-3532-408E-9342-18333F87C1E3}" xr6:coauthVersionLast="47" xr6:coauthVersionMax="47" xr10:uidLastSave="{00000000-0000-0000-0000-000000000000}"/>
  <bookViews>
    <workbookView xWindow="-108" yWindow="-108" windowWidth="46296" windowHeight="25416" xr2:uid="{00000000-000D-0000-FFFF-FFFF00000000}"/>
  </bookViews>
  <sheets>
    <sheet name="Validation Sample" sheetId="1" r:id="rId1"/>
    <sheet name="Error Taxonomy" sheetId="2" r:id="rId2"/>
    <sheet name="Dataset 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2" i="1"/>
</calcChain>
</file>

<file path=xl/sharedStrings.xml><?xml version="1.0" encoding="utf-8"?>
<sst xmlns="http://schemas.openxmlformats.org/spreadsheetml/2006/main" count="350" uniqueCount="202">
  <si>
    <t>row_id</t>
  </si>
  <si>
    <t>syndicate</t>
  </si>
  <si>
    <t>year</t>
  </si>
  <si>
    <t>quality_tier</t>
  </si>
  <si>
    <t>source_document</t>
  </si>
  <si>
    <t>extracted_reserve_gbp_m</t>
  </si>
  <si>
    <t>extracted_reserve_source</t>
  </si>
  <si>
    <t>validated_reserve_gbp_m</t>
  </si>
  <si>
    <t>extracted_deterioration_pct</t>
  </si>
  <si>
    <t>validated_deterioration_pct</t>
  </si>
  <si>
    <t>extracted_movement_gbp_m</t>
  </si>
  <si>
    <t>validated_movement_gbp_m</t>
  </si>
  <si>
    <t>extracted_lob_weights</t>
  </si>
  <si>
    <t>validated_lob_weights</t>
  </si>
  <si>
    <t>extracted_direction</t>
  </si>
  <si>
    <t>extracted_causes</t>
  </si>
  <si>
    <t>narrative_excerpt</t>
  </si>
  <si>
    <t>error_type</t>
  </si>
  <si>
    <t>material_error_yn</t>
  </si>
  <si>
    <t>notes</t>
  </si>
  <si>
    <t>VERY_HIGH</t>
  </si>
  <si>
    <t>syndicate_386_2014.pdf</t>
  </si>
  <si>
    <t>prior_reserves_gbp_m</t>
  </si>
  <si>
    <t>Reinsurance - Property: 50.2%; Casualty: 49.5%; Property: 0.3%; Professional Lines: 0.1%</t>
  </si>
  <si>
    <t>strengthening</t>
  </si>
  <si>
    <t>Adverse claims development</t>
  </si>
  <si>
    <t>Casualty reserves strengthened by Â£23.233m due to worse than expected claims development in general liability and professional indemnity classes.</t>
  </si>
  <si>
    <t>syndicate_1084_2014.pdf</t>
  </si>
  <si>
    <t>none</t>
  </si>
  <si>
    <t>release</t>
  </si>
  <si>
    <t>Favorable claims development</t>
  </si>
  <si>
    <t>Marine division experienced a release of Â£77.4m from technical reserves due to favorable claims development in 2014.</t>
  </si>
  <si>
    <t>HIGH</t>
  </si>
  <si>
    <t>syndicate_1218_2014.pdf</t>
  </si>
  <si>
    <t>Property: 61.8%; Reinsurance - Property: 36.0%; Professional Lines: 1.1%; Casualty: 0.8%; Aviation: 0.3%</t>
  </si>
  <si>
    <t>Prior year reserve release of Â£8.5m in direct Third Party Liability business reflecting favorable claims development.</t>
  </si>
  <si>
    <t>syndicate_1301_2014.pdf</t>
  </si>
  <si>
    <t>Natural catastrophe events</t>
  </si>
  <si>
    <t>Property reserves released by Â£6.2m due to favorable development of New Zealand and Japanese earthquake catastrophe losses.</t>
  </si>
  <si>
    <t>syndicate_1967_2014.pdf</t>
  </si>
  <si>
    <t>Property: 85.6%; Reinsurance - Property: 11.1%; Marine: 1.9%; Aviation: 0.8%; Energy: 0.3%</t>
  </si>
  <si>
    <t>flat</t>
  </si>
  <si>
    <t>syndicate_1991_2014.pdf</t>
  </si>
  <si>
    <t>Property: 39.2%; Reinsurance - Property: 33.0%; Casualty: 15.2%; Professional Lines: 11.1%; Cyber: 1.6%</t>
  </si>
  <si>
    <t>Adverse claims development; IBNR recalibration</t>
  </si>
  <si>
    <t>Provision for claims outstanding includes amounts for claims notified and IBNR, based on statistical estimation techniques reflecting past claims development.</t>
  </si>
  <si>
    <t>syndicate_623_2015.pdf</t>
  </si>
  <si>
    <t>stamp_capacity_gbp_m</t>
  </si>
  <si>
    <t>Property: 36.0%; Reinsurance - Property: 27.2%; Professional Lines: 22.6%; Marine: 4.8%; Casualty: 4.7%</t>
  </si>
  <si>
    <t>The decrease in the combined ratio to 84% in 2015 from 87% in 2014 was largely driven by favorable claims development, including lower than expected natural catastrophe activity, leading to significan</t>
  </si>
  <si>
    <t>syndicate_1176_2015.pdf</t>
  </si>
  <si>
    <t>Reserve release of Â£8.7m in Property due to favorable claims development, primarily from fire and other damage to property.</t>
  </si>
  <si>
    <t>syndicate_1200_2015.pdf</t>
  </si>
  <si>
    <t>Reinsurance - Property: 85.0%; Property: 8.5%; Professional Lines: 4.8%; Casualty: 1.1%; Marine: 0.3%</t>
  </si>
  <si>
    <t>In 2015, there was an overall reserve release of Â£16.4m attributed to favorable claims development.</t>
  </si>
  <si>
    <t>REJ_1880_2015</t>
  </si>
  <si>
    <t>MEDIUM</t>
  </si>
  <si>
    <t>syndicate_1880_2015.pdf</t>
  </si>
  <si>
    <t>n/a (rejected)</t>
  </si>
  <si>
    <t>syndicate_1967_2015.pdf</t>
  </si>
  <si>
    <t>Property: 47.5%; Reinsurance - Property: 39.5%; Marine: 4.8%; Professional Lines: 2.9%; Aviation: 2.6%</t>
  </si>
  <si>
    <t>Release of $1.164m from prior accident years due to favorable claims development.</t>
  </si>
  <si>
    <t>REJ_2010_2015</t>
  </si>
  <si>
    <t>syndicate_2010_2015.pdf</t>
  </si>
  <si>
    <t>syndicate_2526_2015.pdf</t>
  </si>
  <si>
    <t>Property: 53.2%; Professional Lines: 23.5%; Casualty: 12.3%; Reinsurance - Property: 10.6%; Accident &amp; Health: 0.3%</t>
  </si>
  <si>
    <t>Significant reserve strengthening of Â£42.021m on Professional Lines (Professional Indemnity, Directors and Officers, Medical Malpractice) due to adverse claims development following an independent re</t>
  </si>
  <si>
    <t>syndicate_3010_2015.pdf</t>
  </si>
  <si>
    <t>Property: 93.2%; Marine: 3.2%; Reinsurance - Property: 2.0%; Energy: 1.1%; Professional Lines: 0.4%</t>
  </si>
  <si>
    <t>syndicate_4141_2015.pdf</t>
  </si>
  <si>
    <t>Prior year reserve release of Â£1.6m in 2015, reflecting favorable claims development.</t>
  </si>
  <si>
    <t>syndicate_435_2016.pdf</t>
  </si>
  <si>
    <t>Casualty: 50.4%; Property: 41.4%; Marine: 7.8%; Aggregate: 0.2%; Motor: 0.1%</t>
  </si>
  <si>
    <t>Despite significant market losses from events including Hurricane Matthew and wildfires, the Property team was profitable, leading to favorable development and releases from prior year reserves.</t>
  </si>
  <si>
    <t>syndicate_1301_2016.pdf</t>
  </si>
  <si>
    <t>syndicate_4444_2016.pdf</t>
  </si>
  <si>
    <t>Reinsurance - Property: 56.8%; Professional Lines: 33.9%; Property: 5.6%; Casualty: 1.4%; Motor: 1.1%</t>
  </si>
  <si>
    <t>Property reserves were strengthened by Â£45m due to significant natural catastrophe events in 2016, including Hurricane Matthew and the Alberta Wildfires.</t>
  </si>
  <si>
    <t>REJ_5000_2016</t>
  </si>
  <si>
    <t>LOW</t>
  </si>
  <si>
    <t>syndicate_5000_2016.pdf</t>
  </si>
  <si>
    <t>syndicate_2987_2017.pdf</t>
  </si>
  <si>
    <t>Property: 46.3%; Professional Lines: 28.8%; Reinsurance - Property: 21.0%; Aviation: 2.3%; Casualty: 1.1%</t>
  </si>
  <si>
    <t>Favorable premium development from prior years in the Property Facilities division resulted in a release of $71.2m.</t>
  </si>
  <si>
    <t>syndicate_4444_2017.pdf</t>
  </si>
  <si>
    <t>Reinsurance - Property: 43.7%; Professional Lines: 42.6%; Property: 8.4%; Casualty: 1.9%; Motor: 1.5%</t>
  </si>
  <si>
    <t>Significant reserve strengthening of Â£200m in Property line due to catastrophic events including hurricanes Harvey, Irma, Maria, the California wildfires, and the Mexico earthquake.</t>
  </si>
  <si>
    <t>syndicate_1458_2018.pdf</t>
  </si>
  <si>
    <t>release; strengthening</t>
  </si>
  <si>
    <t>Favorable claims development; Natural catastrophe events</t>
  </si>
  <si>
    <t>Net ultimate loss from 2018 catastrophe events including Typhoon Jebi, Hurricane Florence, Hurricane Michael, and California Wildland Fires resulted in a net loss of Â£45.4m.</t>
  </si>
  <si>
    <t>syndicate_1492_2018.pdf</t>
  </si>
  <si>
    <t>Property: 95.0%; Reinsurance - Property: 2.5%; Casualty: 2.0%; Professional Lines: 0.4%</t>
  </si>
  <si>
    <t>Profit of Â£1,375,000 attributable to the 2016 and prior years of account for Property, indicating a reserve release due to favorable claims development.</t>
  </si>
  <si>
    <t>syndicate_2488_2018.pdf</t>
  </si>
  <si>
    <t>Property: 38.5%; Casualty: 31.1%; Reinsurance - Property: 17.1%; Professional Lines: 11.3%; Marine: 1.8%</t>
  </si>
  <si>
    <t>Adverse claims development; Favorable claims development</t>
  </si>
  <si>
    <t>Property reserves experienced a release of Â£14.559m due to favorable claims development in the fire and other damage to property class.</t>
  </si>
  <si>
    <t>syndicate_2791_2018.pdf</t>
  </si>
  <si>
    <t>Reinsurance - Property: 59.6%; Property: 21.2%; Motor: 10.4%; Professional Lines: 4.2%; Casualty: 2.6%</t>
  </si>
  <si>
    <t>IBNR recalibration; Subrogation recoveries</t>
  </si>
  <si>
    <t>Casualty reserves experienced a Â£19.4m release due to subrogation recovery related to the World Trade Center terror attack.</t>
  </si>
  <si>
    <t>REJ_3334_2018</t>
  </si>
  <si>
    <t>syndicate_3334_2018.pdf</t>
  </si>
  <si>
    <t>syndicate_3902_2018.pdf</t>
  </si>
  <si>
    <t>Reinsurance - Property: 41.2%; Professional Lines: 26.2%; Property: 21.1%; Marine: 10.0%; Casualty: 1.5%</t>
  </si>
  <si>
    <t>Property reserves were strengthened due to a series of natural catastrophe events including Hurricanes Harvey, Irma, Maria, Florence, Michael, the California wildfires Camp and Woolsey, and the earthq</t>
  </si>
  <si>
    <t>syndicate_5623_2018.pdf</t>
  </si>
  <si>
    <t>Property: 74.6%; Professional Lines: 13.1%; Reinsurance - Property: 11.5%; Cyber: 0.8%; Casualty: 0.0%</t>
  </si>
  <si>
    <t>REJ_1225_2019</t>
  </si>
  <si>
    <t>syndicate_1225_2019.pdf</t>
  </si>
  <si>
    <t>REJ_1856_2019</t>
  </si>
  <si>
    <t>syndicate_1856_2019.pdf</t>
  </si>
  <si>
    <t>syndicate_1947_2019.pdf</t>
  </si>
  <si>
    <t>Reinsurance - Property: 73.1%; Property: 15.8%; Professional Lines: 10.3%; Motor: 0.8%; Marine: 0.0%</t>
  </si>
  <si>
    <t>Property reinsurance reserves strengthened by Â£1.8m due to losses from Typhoon Faxai and Typhoon Hagibis, reflecting a significant improvement from the previous year's catastrophe events.</t>
  </si>
  <si>
    <t>syndicate_2121_2019.pdf</t>
  </si>
  <si>
    <t>Reinsurance - Property: 98.5%; Property: 0.6%; Casualty: 0.4%; Marine: 0.2%; Professional Lines: 0.1%</t>
  </si>
  <si>
    <t>Casualty reserves experienced a strengthening of Â£11.5m due to adverse claims development.</t>
  </si>
  <si>
    <t>syndicate_33_2020.pdf</t>
  </si>
  <si>
    <t>Cyber: 58.9%; Property: 41.1%; Reinsurance - Property: 25.5%; Casualty: 17.1%; Marine: 11.5%</t>
  </si>
  <si>
    <t>COVID-19 / pandemic effects</t>
  </si>
  <si>
    <t>COVID-19 pandemic resulted in significant losses totaling $209.0m, primarily affecting the specialty division through contingency exposures.</t>
  </si>
  <si>
    <t>REJ_1729_2020</t>
  </si>
  <si>
    <t>syndicate_1729_2020.pdf</t>
  </si>
  <si>
    <t>syndicate_1910_2020.pdf</t>
  </si>
  <si>
    <t>Property: 41.2%; Reinsurance - Property: 29.3%; Professional Lines: 23.6%; Casualty: 5.8%; Marine: 0.0%</t>
  </si>
  <si>
    <t>COVID-19 / pandemic effects; Natural catastrophe events</t>
  </si>
  <si>
    <t>Significant reserve strengthening in Property due to natural catastrophes including Hurricane Laura, wildfires in the Western United States, and Storm Derecho.</t>
  </si>
  <si>
    <t>syndicate_2121_2020.pdf</t>
  </si>
  <si>
    <t>Reinsurance - Property: 98.7%; Property: 0.6%; Casualty: 0.5%; Marine: 0.2%; Energy: 0.1%</t>
  </si>
  <si>
    <t>Energy reserves strengthened by Â£1.3m due to adverse claims development.</t>
  </si>
  <si>
    <t>REJ_457_2021</t>
  </si>
  <si>
    <t>syndicate_457_2021.pdf</t>
  </si>
  <si>
    <t>syndicate_2791_2021.pdf</t>
  </si>
  <si>
    <t>Reinsurance - Property: 64.6%; Property: 21.1%; Motor: 5.0%; Professional Lines: 4.1%; Casualty: 3.0%</t>
  </si>
  <si>
    <t>A gross back year release of Â£22.0m was reported for the 2019 year of account, reflecting favorable claims development.</t>
  </si>
  <si>
    <t>syndicate_318_2022.pdf</t>
  </si>
  <si>
    <t>Property: 88.0%; Reinsurance - Property: 11.9%; Professional Lines: 0.1%; Marine: 0.0%; Motor: 0.0%</t>
  </si>
  <si>
    <t>Movement of Â£5.4m on closed year reserves, indicating a strengthening due to relatively small adverse claims development.</t>
  </si>
  <si>
    <t>syndicate_2987_2022.pdf</t>
  </si>
  <si>
    <t>Property: 42.9%; Reinsurance - Property: 31.5%; Professional Lines: 20.7%; Casualty: 4.8%; Marine: 0.2%</t>
  </si>
  <si>
    <t>Geopolitical events; Natural catastrophe events</t>
  </si>
  <si>
    <t>Hurricane Ian led to a significant strengthening of reserves by $146.8m in 2022.</t>
  </si>
  <si>
    <t>syndicate_382_2023.pdf</t>
  </si>
  <si>
    <t>Reinsurance - Property: 55.6%; Property: 30.7%; Casualty: 10.0%; Energy: 2.0%; Marine: 1.1%</t>
  </si>
  <si>
    <t>syndicate_623_2023.pdf</t>
  </si>
  <si>
    <t>Motor: 50.0%; Reinsurance - Property: 50.0%</t>
  </si>
  <si>
    <t>Management margin release; Natural catastrophe events; Reserve methodology change</t>
  </si>
  <si>
    <t>Property reserves were strengthened due to impacts from natural catastrophes including Hurricane Ida.</t>
  </si>
  <si>
    <t>syndicate_1322_2023.pdf</t>
  </si>
  <si>
    <t>Reinsurance - Property: 27.6%; Property: 26.3%; Professional Lines: 25.0%; Casualty: 16.4%; Cyber: 4.6%</t>
  </si>
  <si>
    <t>syndicate_1880_2023.pdf</t>
  </si>
  <si>
    <t>Marine: 41.5%; Property: 25.5%; Professional Lines: 20.0%; Reinsurance - Property: 12.8%; Casualty: 0.1%</t>
  </si>
  <si>
    <t>Property reserves were strengthened by Â£2.0m due to higher losses from Hurricane Ian, Winter Storm Elliot, and the Ukraine War in the prior year, and losses from the Hawaii Wildfires in 2023.</t>
  </si>
  <si>
    <t>syndicate_1910_2023.pdf</t>
  </si>
  <si>
    <t>Property: 42.5%; Reinsurance - Property: 31.8%; Professional Lines: 24.3%; Casualty: 1.3%; Energy: 0.0%</t>
  </si>
  <si>
    <t>Prior year reserves for 2021 were strengthened due to significant loss activity including Hurricane Ida, Winter storm Uri, and geopolitical events in Ukraine.</t>
  </si>
  <si>
    <t>syndicate_2791_2023.pdf</t>
  </si>
  <si>
    <t>Reinsurance - Property: 66.3%; Property: 19.1%; Casualty: 4.5%; Professional Lines: 4.4%; Motor: 3.7%</t>
  </si>
  <si>
    <t>Casualty classes generated a Â£7.0m gross back-year release, reflecting positive development across all years except 2003.</t>
  </si>
  <si>
    <t>syndicate_435_2024.html</t>
  </si>
  <si>
    <t>claims_outstanding_gbp_m</t>
  </si>
  <si>
    <t>REJ_1100_2024</t>
  </si>
  <si>
    <t>syndicate_1100_2024.pdf</t>
  </si>
  <si>
    <t>syndicate_1176_2024.html</t>
  </si>
  <si>
    <t>REJ_1322_2024</t>
  </si>
  <si>
    <t>syndicate_1322_2024.pdf</t>
  </si>
  <si>
    <t>Code</t>
  </si>
  <si>
    <t>Error Type</t>
  </si>
  <si>
    <t>Definition</t>
  </si>
  <si>
    <t>FO</t>
  </si>
  <si>
    <t>Field omission</t>
  </si>
  <si>
    <t>A disclosed field was not captured by extraction</t>
  </si>
  <si>
    <t>RB</t>
  </si>
  <si>
    <t>Reserve-base mismatch</t>
  </si>
  <si>
    <t>Wrong reserve figure used as R_s denominator</t>
  </si>
  <si>
    <t>LM</t>
  </si>
  <si>
    <t>LoB mapping error</t>
  </si>
  <si>
    <t>Syndicate LoB mapped to wrong canonical LoB</t>
  </si>
  <si>
    <t>TE</t>
  </si>
  <si>
    <t>Transcription/numeric</t>
  </si>
  <si>
    <t>Amount incorrectly transcribed from source</t>
  </si>
  <si>
    <t>AD</t>
  </si>
  <si>
    <t>Ambiguous disclosure</t>
  </si>
  <si>
    <t>Source language genuinely unclear on direction or amount</t>
  </si>
  <si>
    <t>Dataset Metadata</t>
  </si>
  <si>
    <t>Frozen dataset: syndicate_corpus_v1.0</t>
  </si>
  <si>
    <t>Generated: 2026-03-11T18:10:13.668802</t>
  </si>
  <si>
    <t>Rows: 435</t>
  </si>
  <si>
    <t>Unique syndicates: 80</t>
  </si>
  <si>
    <t>Year range: 2014-2024</t>
  </si>
  <si>
    <t>SHA-256: e8abbd43ff4f47c075ede23b59347af38da7570a34b4665662407fdfbacf74dc</t>
  </si>
  <si>
    <t>source_page reserve</t>
  </si>
  <si>
    <t>source_page movement</t>
  </si>
  <si>
    <t>source_page LOB</t>
  </si>
  <si>
    <t>Casualty 43%, Professional Lines 18%, Liability 39%</t>
  </si>
  <si>
    <t>LOB mix is wrong</t>
  </si>
  <si>
    <t>Energy 15%, Property 5%, Marine 19%, Aviation 3%, Casualty 13%, Treaty 23%, UK 22%</t>
  </si>
  <si>
    <t>Reserve Good, LOB wrong</t>
  </si>
  <si>
    <t>Failed to read</t>
  </si>
  <si>
    <t>Not applicable due to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</si>
</sst>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0" xfId="0" applyFont="1"/>
    <xf numFmtId="164" fontId="0" fillId="2" borderId="0" xfId="1" applyNumberFormat="1" applyFont="1" applyFill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tabSelected="1" workbookViewId="0">
      <selection activeCell="N4" sqref="N4"/>
    </sheetView>
  </sheetViews>
  <sheetFormatPr defaultRowHeight="14.4" x14ac:dyDescent="0.3"/>
  <cols>
    <col min="4" max="4" width="10.5546875" bestFit="1" customWidth="1"/>
    <col min="5" max="5" width="23.21875" bestFit="1" customWidth="1"/>
    <col min="6" max="6" width="11.6640625" bestFit="1" customWidth="1"/>
    <col min="7" max="7" width="23.21875" bestFit="1" customWidth="1"/>
    <col min="8" max="8" width="23.44140625" bestFit="1" customWidth="1"/>
    <col min="9" max="9" width="23.109375" bestFit="1" customWidth="1"/>
    <col min="10" max="10" width="24.88671875" bestFit="1" customWidth="1"/>
    <col min="11" max="11" width="24.77734375" bestFit="1" customWidth="1"/>
    <col min="12" max="12" width="26.44140625" bestFit="1" customWidth="1"/>
    <col min="13" max="13" width="13.109375" customWidth="1"/>
    <col min="14" max="14" width="26.33203125" bestFit="1" customWidth="1"/>
    <col min="15" max="15" width="97.77734375" bestFit="1" customWidth="1"/>
    <col min="16" max="16" width="72.5546875" bestFit="1" customWidth="1"/>
    <col min="17" max="17" width="13.109375" customWidth="1"/>
    <col min="18" max="18" width="19.109375" bestFit="1" customWidth="1"/>
    <col min="19" max="19" width="73.77734375" bestFit="1" customWidth="1"/>
    <col min="20" max="20" width="169.44140625" bestFit="1" customWidth="1"/>
    <col min="21" max="21" width="9.88671875" bestFit="1" customWidth="1"/>
    <col min="22" max="22" width="16.21875" bestFit="1" customWidth="1"/>
    <col min="23" max="23" width="15" bestFit="1" customWidth="1"/>
  </cols>
  <sheetData>
    <row r="1" spans="1:2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193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4" t="s">
        <v>194</v>
      </c>
      <c r="N1" s="1" t="s">
        <v>11</v>
      </c>
      <c r="O1" s="1" t="s">
        <v>12</v>
      </c>
      <c r="P1" s="1" t="s">
        <v>13</v>
      </c>
      <c r="Q1" s="4" t="s">
        <v>195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3">
      <c r="A2">
        <v>31</v>
      </c>
      <c r="B2">
        <v>386</v>
      </c>
      <c r="C2">
        <v>2014</v>
      </c>
      <c r="D2" t="s">
        <v>20</v>
      </c>
      <c r="E2" t="s">
        <v>21</v>
      </c>
      <c r="F2" s="2">
        <v>21</v>
      </c>
      <c r="G2">
        <v>267.8</v>
      </c>
      <c r="H2" t="s">
        <v>22</v>
      </c>
      <c r="I2" s="2">
        <v>267.8</v>
      </c>
      <c r="J2">
        <v>8.68</v>
      </c>
      <c r="K2" s="6">
        <f>N2/I2</f>
        <v>8.6631814787154593E-2</v>
      </c>
      <c r="L2">
        <v>23.2</v>
      </c>
      <c r="M2" s="2">
        <v>28</v>
      </c>
      <c r="N2" s="2">
        <v>23.2</v>
      </c>
      <c r="O2" t="s">
        <v>23</v>
      </c>
      <c r="P2" s="5" t="s">
        <v>196</v>
      </c>
      <c r="Q2" s="2">
        <v>3</v>
      </c>
      <c r="R2" t="s">
        <v>24</v>
      </c>
      <c r="S2" t="s">
        <v>25</v>
      </c>
      <c r="T2" t="s">
        <v>26</v>
      </c>
      <c r="V2" t="s">
        <v>199</v>
      </c>
      <c r="W2" t="s">
        <v>197</v>
      </c>
    </row>
    <row r="3" spans="1:23" x14ac:dyDescent="0.3">
      <c r="A3">
        <v>93</v>
      </c>
      <c r="B3">
        <v>1084</v>
      </c>
      <c r="C3">
        <v>2014</v>
      </c>
      <c r="D3" t="s">
        <v>20</v>
      </c>
      <c r="E3" t="s">
        <v>27</v>
      </c>
      <c r="F3" s="2">
        <v>17</v>
      </c>
      <c r="H3" t="s">
        <v>28</v>
      </c>
      <c r="I3" s="5">
        <v>1579.2</v>
      </c>
      <c r="K3" s="6">
        <f>N3/I3</f>
        <v>-4.901215805471125E-2</v>
      </c>
      <c r="L3">
        <v>-232.2</v>
      </c>
      <c r="M3" s="2">
        <v>23</v>
      </c>
      <c r="N3" s="5">
        <v>-77.400000000000006</v>
      </c>
      <c r="P3" s="5" t="s">
        <v>198</v>
      </c>
      <c r="Q3" s="2">
        <v>1</v>
      </c>
      <c r="R3" t="s">
        <v>29</v>
      </c>
      <c r="S3" t="s">
        <v>30</v>
      </c>
      <c r="T3" t="s">
        <v>31</v>
      </c>
      <c r="V3" t="s">
        <v>200</v>
      </c>
      <c r="W3" t="s">
        <v>201</v>
      </c>
    </row>
    <row r="4" spans="1:23" x14ac:dyDescent="0.3">
      <c r="A4">
        <v>148</v>
      </c>
      <c r="B4">
        <v>1218</v>
      </c>
      <c r="C4">
        <v>2014</v>
      </c>
      <c r="D4" t="s">
        <v>32</v>
      </c>
      <c r="E4" t="s">
        <v>33</v>
      </c>
      <c r="G4">
        <v>10.9</v>
      </c>
      <c r="H4" t="s">
        <v>22</v>
      </c>
      <c r="J4">
        <v>-100</v>
      </c>
      <c r="L4">
        <v>-10.9</v>
      </c>
      <c r="O4" t="s">
        <v>34</v>
      </c>
      <c r="R4" t="s">
        <v>29</v>
      </c>
      <c r="S4" t="s">
        <v>30</v>
      </c>
      <c r="T4" t="s">
        <v>35</v>
      </c>
    </row>
    <row r="5" spans="1:23" x14ac:dyDescent="0.3">
      <c r="A5">
        <v>177</v>
      </c>
      <c r="B5">
        <v>1301</v>
      </c>
      <c r="C5">
        <v>2014</v>
      </c>
      <c r="D5" t="s">
        <v>20</v>
      </c>
      <c r="E5" t="s">
        <v>36</v>
      </c>
      <c r="H5" t="s">
        <v>28</v>
      </c>
      <c r="L5">
        <v>-6.2</v>
      </c>
      <c r="R5" t="s">
        <v>29</v>
      </c>
      <c r="S5" t="s">
        <v>37</v>
      </c>
      <c r="T5" t="s">
        <v>38</v>
      </c>
    </row>
    <row r="6" spans="1:23" x14ac:dyDescent="0.3">
      <c r="A6">
        <v>267</v>
      </c>
      <c r="B6">
        <v>1967</v>
      </c>
      <c r="C6">
        <v>2014</v>
      </c>
      <c r="D6" t="s">
        <v>20</v>
      </c>
      <c r="E6" t="s">
        <v>39</v>
      </c>
      <c r="G6">
        <v>2014</v>
      </c>
      <c r="H6" t="s">
        <v>22</v>
      </c>
      <c r="J6">
        <v>0</v>
      </c>
      <c r="L6">
        <v>0</v>
      </c>
      <c r="O6" t="s">
        <v>40</v>
      </c>
      <c r="R6" t="s">
        <v>41</v>
      </c>
    </row>
    <row r="7" spans="1:23" x14ac:dyDescent="0.3">
      <c r="A7">
        <v>275</v>
      </c>
      <c r="B7">
        <v>1991</v>
      </c>
      <c r="C7">
        <v>2014</v>
      </c>
      <c r="D7" t="s">
        <v>20</v>
      </c>
      <c r="E7" t="s">
        <v>42</v>
      </c>
      <c r="G7">
        <v>24.7</v>
      </c>
      <c r="H7" t="s">
        <v>22</v>
      </c>
      <c r="J7">
        <v>0</v>
      </c>
      <c r="L7">
        <v>0</v>
      </c>
      <c r="O7" t="s">
        <v>43</v>
      </c>
      <c r="R7" t="s">
        <v>24</v>
      </c>
      <c r="S7" t="s">
        <v>44</v>
      </c>
      <c r="T7" t="s">
        <v>45</v>
      </c>
    </row>
    <row r="8" spans="1:23" x14ac:dyDescent="0.3">
      <c r="A8">
        <v>68</v>
      </c>
      <c r="B8">
        <v>623</v>
      </c>
      <c r="C8">
        <v>2015</v>
      </c>
      <c r="D8" t="s">
        <v>20</v>
      </c>
      <c r="E8" t="s">
        <v>46</v>
      </c>
      <c r="G8">
        <v>2015</v>
      </c>
      <c r="H8" t="s">
        <v>47</v>
      </c>
      <c r="J8">
        <v>0</v>
      </c>
      <c r="L8">
        <v>0</v>
      </c>
      <c r="O8" t="s">
        <v>48</v>
      </c>
      <c r="R8" t="s">
        <v>29</v>
      </c>
      <c r="S8" t="s">
        <v>30</v>
      </c>
      <c r="T8" t="s">
        <v>49</v>
      </c>
    </row>
    <row r="9" spans="1:23" x14ac:dyDescent="0.3">
      <c r="A9">
        <v>109</v>
      </c>
      <c r="B9">
        <v>1176</v>
      </c>
      <c r="C9">
        <v>2015</v>
      </c>
      <c r="D9" t="s">
        <v>20</v>
      </c>
      <c r="E9" t="s">
        <v>50</v>
      </c>
      <c r="H9" t="s">
        <v>28</v>
      </c>
      <c r="L9">
        <v>-8.6999999999999993</v>
      </c>
      <c r="R9" t="s">
        <v>29</v>
      </c>
      <c r="S9" t="s">
        <v>30</v>
      </c>
      <c r="T9" t="s">
        <v>51</v>
      </c>
    </row>
    <row r="10" spans="1:23" x14ac:dyDescent="0.3">
      <c r="A10">
        <v>130</v>
      </c>
      <c r="B10">
        <v>1200</v>
      </c>
      <c r="C10">
        <v>2015</v>
      </c>
      <c r="D10" t="s">
        <v>20</v>
      </c>
      <c r="E10" t="s">
        <v>52</v>
      </c>
      <c r="G10">
        <v>3</v>
      </c>
      <c r="H10" t="s">
        <v>22</v>
      </c>
      <c r="J10">
        <v>-546.66999999999996</v>
      </c>
      <c r="L10">
        <v>-16.399999999999999</v>
      </c>
      <c r="O10" t="s">
        <v>53</v>
      </c>
      <c r="R10" t="s">
        <v>29</v>
      </c>
      <c r="S10" t="s">
        <v>30</v>
      </c>
      <c r="T10" t="s">
        <v>54</v>
      </c>
    </row>
    <row r="11" spans="1:23" x14ac:dyDescent="0.3">
      <c r="A11" t="s">
        <v>55</v>
      </c>
      <c r="B11">
        <v>1880</v>
      </c>
      <c r="C11">
        <v>2015</v>
      </c>
      <c r="D11" t="s">
        <v>56</v>
      </c>
      <c r="E11" t="s">
        <v>57</v>
      </c>
      <c r="H11" t="s">
        <v>58</v>
      </c>
    </row>
    <row r="12" spans="1:23" x14ac:dyDescent="0.3">
      <c r="A12">
        <v>268</v>
      </c>
      <c r="B12">
        <v>1967</v>
      </c>
      <c r="C12">
        <v>2015</v>
      </c>
      <c r="D12" t="s">
        <v>20</v>
      </c>
      <c r="E12" t="s">
        <v>59</v>
      </c>
      <c r="H12" t="s">
        <v>28</v>
      </c>
      <c r="L12">
        <v>0</v>
      </c>
      <c r="O12" t="s">
        <v>60</v>
      </c>
      <c r="R12" t="s">
        <v>29</v>
      </c>
      <c r="S12" t="s">
        <v>30</v>
      </c>
      <c r="T12" t="s">
        <v>61</v>
      </c>
    </row>
    <row r="13" spans="1:23" x14ac:dyDescent="0.3">
      <c r="A13" t="s">
        <v>62</v>
      </c>
      <c r="B13">
        <v>2010</v>
      </c>
      <c r="C13">
        <v>2015</v>
      </c>
      <c r="D13" t="s">
        <v>56</v>
      </c>
      <c r="E13" t="s">
        <v>63</v>
      </c>
      <c r="H13" t="s">
        <v>58</v>
      </c>
    </row>
    <row r="14" spans="1:23" x14ac:dyDescent="0.3">
      <c r="A14">
        <v>337</v>
      </c>
      <c r="B14">
        <v>2526</v>
      </c>
      <c r="C14">
        <v>2015</v>
      </c>
      <c r="D14" t="s">
        <v>20</v>
      </c>
      <c r="E14" t="s">
        <v>64</v>
      </c>
      <c r="G14">
        <v>31.2</v>
      </c>
      <c r="H14" t="s">
        <v>22</v>
      </c>
      <c r="J14">
        <v>134.76</v>
      </c>
      <c r="L14">
        <v>42</v>
      </c>
      <c r="O14" t="s">
        <v>65</v>
      </c>
      <c r="R14" t="s">
        <v>24</v>
      </c>
      <c r="S14" t="s">
        <v>25</v>
      </c>
      <c r="T14" t="s">
        <v>66</v>
      </c>
    </row>
    <row r="15" spans="1:23" x14ac:dyDescent="0.3">
      <c r="A15">
        <v>370</v>
      </c>
      <c r="B15">
        <v>3010</v>
      </c>
      <c r="C15">
        <v>2015</v>
      </c>
      <c r="D15" t="s">
        <v>32</v>
      </c>
      <c r="E15" t="s">
        <v>67</v>
      </c>
      <c r="G15">
        <v>5416</v>
      </c>
      <c r="H15" t="s">
        <v>22</v>
      </c>
      <c r="J15">
        <v>0</v>
      </c>
      <c r="L15">
        <v>0</v>
      </c>
      <c r="O15" t="s">
        <v>68</v>
      </c>
      <c r="R15" t="s">
        <v>41</v>
      </c>
    </row>
    <row r="16" spans="1:23" x14ac:dyDescent="0.3">
      <c r="A16">
        <v>396</v>
      </c>
      <c r="B16">
        <v>4141</v>
      </c>
      <c r="C16">
        <v>2015</v>
      </c>
      <c r="D16" t="s">
        <v>20</v>
      </c>
      <c r="E16" t="s">
        <v>69</v>
      </c>
      <c r="H16" t="s">
        <v>28</v>
      </c>
      <c r="L16">
        <v>-1.6</v>
      </c>
      <c r="R16" t="s">
        <v>29</v>
      </c>
      <c r="S16" t="s">
        <v>30</v>
      </c>
      <c r="T16" t="s">
        <v>70</v>
      </c>
    </row>
    <row r="17" spans="1:20" x14ac:dyDescent="0.3">
      <c r="A17">
        <v>42</v>
      </c>
      <c r="B17">
        <v>435</v>
      </c>
      <c r="C17">
        <v>2016</v>
      </c>
      <c r="D17" t="s">
        <v>20</v>
      </c>
      <c r="E17" t="s">
        <v>71</v>
      </c>
      <c r="G17">
        <v>127</v>
      </c>
      <c r="H17" t="s">
        <v>22</v>
      </c>
      <c r="J17">
        <v>0</v>
      </c>
      <c r="L17">
        <v>0</v>
      </c>
      <c r="O17" t="s">
        <v>72</v>
      </c>
      <c r="R17" t="s">
        <v>29</v>
      </c>
      <c r="S17" t="s">
        <v>37</v>
      </c>
      <c r="T17" t="s">
        <v>73</v>
      </c>
    </row>
    <row r="18" spans="1:20" x14ac:dyDescent="0.3">
      <c r="A18">
        <v>178</v>
      </c>
      <c r="B18">
        <v>1301</v>
      </c>
      <c r="C18">
        <v>2016</v>
      </c>
      <c r="D18" t="s">
        <v>20</v>
      </c>
      <c r="E18" t="s">
        <v>74</v>
      </c>
      <c r="H18" t="s">
        <v>28</v>
      </c>
      <c r="L18">
        <v>0</v>
      </c>
      <c r="R18" t="s">
        <v>41</v>
      </c>
    </row>
    <row r="19" spans="1:20" x14ac:dyDescent="0.3">
      <c r="A19">
        <v>408</v>
      </c>
      <c r="B19">
        <v>4444</v>
      </c>
      <c r="C19">
        <v>2016</v>
      </c>
      <c r="D19" t="s">
        <v>20</v>
      </c>
      <c r="E19" t="s">
        <v>75</v>
      </c>
      <c r="G19">
        <v>258.8</v>
      </c>
      <c r="H19" t="s">
        <v>22</v>
      </c>
      <c r="J19">
        <v>17.39</v>
      </c>
      <c r="L19">
        <v>45</v>
      </c>
      <c r="O19" t="s">
        <v>76</v>
      </c>
      <c r="R19" t="s">
        <v>24</v>
      </c>
      <c r="S19" t="s">
        <v>37</v>
      </c>
      <c r="T19" t="s">
        <v>77</v>
      </c>
    </row>
    <row r="20" spans="1:20" x14ac:dyDescent="0.3">
      <c r="A20" t="s">
        <v>78</v>
      </c>
      <c r="B20">
        <v>5000</v>
      </c>
      <c r="C20">
        <v>2016</v>
      </c>
      <c r="D20" t="s">
        <v>79</v>
      </c>
      <c r="E20" t="s">
        <v>80</v>
      </c>
      <c r="H20" t="s">
        <v>58</v>
      </c>
    </row>
    <row r="21" spans="1:20" x14ac:dyDescent="0.3">
      <c r="A21">
        <v>363</v>
      </c>
      <c r="B21">
        <v>2987</v>
      </c>
      <c r="C21">
        <v>2017</v>
      </c>
      <c r="D21" t="s">
        <v>20</v>
      </c>
      <c r="E21" t="s">
        <v>81</v>
      </c>
      <c r="G21">
        <v>1200</v>
      </c>
      <c r="H21" t="s">
        <v>47</v>
      </c>
      <c r="J21">
        <v>0</v>
      </c>
      <c r="L21">
        <v>0</v>
      </c>
      <c r="O21" t="s">
        <v>82</v>
      </c>
      <c r="R21" t="s">
        <v>29</v>
      </c>
      <c r="S21" t="s">
        <v>30</v>
      </c>
      <c r="T21" t="s">
        <v>83</v>
      </c>
    </row>
    <row r="22" spans="1:20" x14ac:dyDescent="0.3">
      <c r="A22">
        <v>409</v>
      </c>
      <c r="B22">
        <v>4444</v>
      </c>
      <c r="C22">
        <v>2017</v>
      </c>
      <c r="D22" t="s">
        <v>20</v>
      </c>
      <c r="E22" t="s">
        <v>84</v>
      </c>
      <c r="G22">
        <v>389.8</v>
      </c>
      <c r="H22" t="s">
        <v>22</v>
      </c>
      <c r="J22">
        <v>51.31</v>
      </c>
      <c r="L22">
        <v>200</v>
      </c>
      <c r="O22" t="s">
        <v>85</v>
      </c>
      <c r="R22" t="s">
        <v>24</v>
      </c>
      <c r="S22" t="s">
        <v>37</v>
      </c>
      <c r="T22" t="s">
        <v>86</v>
      </c>
    </row>
    <row r="23" spans="1:20" x14ac:dyDescent="0.3">
      <c r="A23">
        <v>200</v>
      </c>
      <c r="B23">
        <v>1458</v>
      </c>
      <c r="C23">
        <v>2018</v>
      </c>
      <c r="D23" t="s">
        <v>20</v>
      </c>
      <c r="E23" t="s">
        <v>87</v>
      </c>
      <c r="H23" t="s">
        <v>28</v>
      </c>
      <c r="L23">
        <v>43.7</v>
      </c>
      <c r="R23" t="s">
        <v>88</v>
      </c>
      <c r="S23" t="s">
        <v>89</v>
      </c>
      <c r="T23" t="s">
        <v>90</v>
      </c>
    </row>
    <row r="24" spans="1:20" x14ac:dyDescent="0.3">
      <c r="A24">
        <v>207</v>
      </c>
      <c r="B24">
        <v>1492</v>
      </c>
      <c r="C24">
        <v>2018</v>
      </c>
      <c r="D24" t="s">
        <v>32</v>
      </c>
      <c r="E24" t="s">
        <v>91</v>
      </c>
      <c r="G24">
        <v>37.799999999999997</v>
      </c>
      <c r="H24" t="s">
        <v>22</v>
      </c>
      <c r="J24">
        <v>-14.02</v>
      </c>
      <c r="L24">
        <v>-5.3</v>
      </c>
      <c r="O24" t="s">
        <v>92</v>
      </c>
      <c r="R24" t="s">
        <v>29</v>
      </c>
      <c r="S24" t="s">
        <v>30</v>
      </c>
      <c r="T24" t="s">
        <v>93</v>
      </c>
    </row>
    <row r="25" spans="1:20" x14ac:dyDescent="0.3">
      <c r="A25">
        <v>334</v>
      </c>
      <c r="B25">
        <v>2488</v>
      </c>
      <c r="C25">
        <v>2018</v>
      </c>
      <c r="D25" t="s">
        <v>20</v>
      </c>
      <c r="E25" t="s">
        <v>94</v>
      </c>
      <c r="G25">
        <v>333</v>
      </c>
      <c r="H25" t="s">
        <v>22</v>
      </c>
      <c r="J25">
        <v>-6.3</v>
      </c>
      <c r="L25">
        <v>-21</v>
      </c>
      <c r="O25" t="s">
        <v>95</v>
      </c>
      <c r="R25" t="s">
        <v>88</v>
      </c>
      <c r="S25" t="s">
        <v>96</v>
      </c>
      <c r="T25" t="s">
        <v>97</v>
      </c>
    </row>
    <row r="26" spans="1:20" x14ac:dyDescent="0.3">
      <c r="A26">
        <v>356</v>
      </c>
      <c r="B26">
        <v>2791</v>
      </c>
      <c r="C26">
        <v>2018</v>
      </c>
      <c r="D26" t="s">
        <v>20</v>
      </c>
      <c r="E26" t="s">
        <v>98</v>
      </c>
      <c r="G26">
        <v>255.7</v>
      </c>
      <c r="H26" t="s">
        <v>22</v>
      </c>
      <c r="J26">
        <v>-7.04</v>
      </c>
      <c r="L26">
        <v>-18</v>
      </c>
      <c r="O26" t="s">
        <v>99</v>
      </c>
      <c r="R26" t="s">
        <v>88</v>
      </c>
      <c r="S26" t="s">
        <v>100</v>
      </c>
      <c r="T26" t="s">
        <v>101</v>
      </c>
    </row>
    <row r="27" spans="1:20" x14ac:dyDescent="0.3">
      <c r="A27" t="s">
        <v>102</v>
      </c>
      <c r="B27">
        <v>3334</v>
      </c>
      <c r="C27">
        <v>2018</v>
      </c>
      <c r="D27" t="s">
        <v>56</v>
      </c>
      <c r="E27" t="s">
        <v>103</v>
      </c>
      <c r="H27" t="s">
        <v>58</v>
      </c>
    </row>
    <row r="28" spans="1:20" x14ac:dyDescent="0.3">
      <c r="A28">
        <v>388</v>
      </c>
      <c r="B28">
        <v>3902</v>
      </c>
      <c r="C28">
        <v>2018</v>
      </c>
      <c r="D28" t="s">
        <v>20</v>
      </c>
      <c r="E28" t="s">
        <v>104</v>
      </c>
      <c r="G28">
        <v>37.5</v>
      </c>
      <c r="H28" t="s">
        <v>22</v>
      </c>
      <c r="J28">
        <v>0</v>
      </c>
      <c r="L28">
        <v>0</v>
      </c>
      <c r="O28" t="s">
        <v>105</v>
      </c>
      <c r="R28" t="s">
        <v>24</v>
      </c>
      <c r="S28" t="s">
        <v>37</v>
      </c>
      <c r="T28" t="s">
        <v>106</v>
      </c>
    </row>
    <row r="29" spans="1:20" x14ac:dyDescent="0.3">
      <c r="A29">
        <v>427</v>
      </c>
      <c r="B29">
        <v>5623</v>
      </c>
      <c r="C29">
        <v>2018</v>
      </c>
      <c r="D29" t="s">
        <v>20</v>
      </c>
      <c r="E29" t="s">
        <v>107</v>
      </c>
      <c r="G29">
        <v>2018</v>
      </c>
      <c r="H29" t="s">
        <v>47</v>
      </c>
      <c r="J29">
        <v>0</v>
      </c>
      <c r="L29">
        <v>0</v>
      </c>
      <c r="O29" t="s">
        <v>108</v>
      </c>
      <c r="R29" t="s">
        <v>41</v>
      </c>
    </row>
    <row r="30" spans="1:20" x14ac:dyDescent="0.3">
      <c r="A30" t="s">
        <v>109</v>
      </c>
      <c r="B30">
        <v>1225</v>
      </c>
      <c r="C30">
        <v>2019</v>
      </c>
      <c r="D30" t="s">
        <v>79</v>
      </c>
      <c r="E30" t="s">
        <v>110</v>
      </c>
      <c r="H30" t="s">
        <v>58</v>
      </c>
    </row>
    <row r="31" spans="1:20" x14ac:dyDescent="0.3">
      <c r="A31" t="s">
        <v>111</v>
      </c>
      <c r="B31">
        <v>1856</v>
      </c>
      <c r="C31">
        <v>2019</v>
      </c>
      <c r="D31" t="s">
        <v>79</v>
      </c>
      <c r="E31" t="s">
        <v>112</v>
      </c>
      <c r="H31" t="s">
        <v>58</v>
      </c>
    </row>
    <row r="32" spans="1:20" x14ac:dyDescent="0.3">
      <c r="A32">
        <v>262</v>
      </c>
      <c r="B32">
        <v>1947</v>
      </c>
      <c r="C32">
        <v>2019</v>
      </c>
      <c r="D32" t="s">
        <v>20</v>
      </c>
      <c r="E32" t="s">
        <v>113</v>
      </c>
      <c r="G32">
        <v>26.8</v>
      </c>
      <c r="H32" t="s">
        <v>22</v>
      </c>
      <c r="J32">
        <v>6.72</v>
      </c>
      <c r="L32">
        <v>1.8</v>
      </c>
      <c r="O32" t="s">
        <v>114</v>
      </c>
      <c r="R32" t="s">
        <v>24</v>
      </c>
      <c r="S32" t="s">
        <v>37</v>
      </c>
      <c r="T32" t="s">
        <v>115</v>
      </c>
    </row>
    <row r="33" spans="1:20" x14ac:dyDescent="0.3">
      <c r="A33">
        <v>311</v>
      </c>
      <c r="B33">
        <v>2121</v>
      </c>
      <c r="C33">
        <v>2019</v>
      </c>
      <c r="D33" t="s">
        <v>20</v>
      </c>
      <c r="E33" t="s">
        <v>116</v>
      </c>
      <c r="G33">
        <v>3.7</v>
      </c>
      <c r="H33" t="s">
        <v>22</v>
      </c>
      <c r="J33">
        <v>45.95</v>
      </c>
      <c r="L33">
        <v>1.7</v>
      </c>
      <c r="O33" t="s">
        <v>117</v>
      </c>
      <c r="R33" t="s">
        <v>88</v>
      </c>
      <c r="S33" t="s">
        <v>96</v>
      </c>
      <c r="T33" t="s">
        <v>118</v>
      </c>
    </row>
    <row r="34" spans="1:20" x14ac:dyDescent="0.3">
      <c r="A34">
        <v>6</v>
      </c>
      <c r="B34">
        <v>33</v>
      </c>
      <c r="C34">
        <v>2020</v>
      </c>
      <c r="D34" t="s">
        <v>20</v>
      </c>
      <c r="E34" t="s">
        <v>119</v>
      </c>
      <c r="H34" t="s">
        <v>28</v>
      </c>
      <c r="L34">
        <v>0</v>
      </c>
      <c r="O34" t="s">
        <v>120</v>
      </c>
      <c r="R34" t="s">
        <v>24</v>
      </c>
      <c r="S34" t="s">
        <v>121</v>
      </c>
      <c r="T34" t="s">
        <v>122</v>
      </c>
    </row>
    <row r="35" spans="1:20" x14ac:dyDescent="0.3">
      <c r="A35" t="s">
        <v>123</v>
      </c>
      <c r="B35">
        <v>1729</v>
      </c>
      <c r="C35">
        <v>2020</v>
      </c>
      <c r="D35" t="s">
        <v>56</v>
      </c>
      <c r="E35" t="s">
        <v>124</v>
      </c>
      <c r="H35" t="s">
        <v>58</v>
      </c>
    </row>
    <row r="36" spans="1:20" x14ac:dyDescent="0.3">
      <c r="A36">
        <v>249</v>
      </c>
      <c r="B36">
        <v>1910</v>
      </c>
      <c r="C36">
        <v>2020</v>
      </c>
      <c r="D36" t="s">
        <v>20</v>
      </c>
      <c r="E36" t="s">
        <v>125</v>
      </c>
      <c r="G36">
        <v>9.1999999999999993</v>
      </c>
      <c r="H36" t="s">
        <v>22</v>
      </c>
      <c r="J36">
        <v>285.87</v>
      </c>
      <c r="L36">
        <v>26.3</v>
      </c>
      <c r="O36" t="s">
        <v>126</v>
      </c>
      <c r="R36" t="s">
        <v>24</v>
      </c>
      <c r="S36" t="s">
        <v>127</v>
      </c>
      <c r="T36" t="s">
        <v>128</v>
      </c>
    </row>
    <row r="37" spans="1:20" x14ac:dyDescent="0.3">
      <c r="A37">
        <v>312</v>
      </c>
      <c r="B37">
        <v>2121</v>
      </c>
      <c r="C37">
        <v>2020</v>
      </c>
      <c r="D37" t="s">
        <v>20</v>
      </c>
      <c r="E37" t="s">
        <v>129</v>
      </c>
      <c r="G37">
        <v>2.9</v>
      </c>
      <c r="H37" t="s">
        <v>22</v>
      </c>
      <c r="J37">
        <v>103.45</v>
      </c>
      <c r="L37">
        <v>3</v>
      </c>
      <c r="O37" t="s">
        <v>130</v>
      </c>
      <c r="R37" t="s">
        <v>88</v>
      </c>
      <c r="S37" t="s">
        <v>96</v>
      </c>
      <c r="T37" t="s">
        <v>131</v>
      </c>
    </row>
    <row r="38" spans="1:20" x14ac:dyDescent="0.3">
      <c r="A38" t="s">
        <v>132</v>
      </c>
      <c r="B38">
        <v>457</v>
      </c>
      <c r="C38">
        <v>2021</v>
      </c>
      <c r="D38" t="s">
        <v>79</v>
      </c>
      <c r="E38" t="s">
        <v>133</v>
      </c>
      <c r="H38" t="s">
        <v>58</v>
      </c>
    </row>
    <row r="39" spans="1:20" x14ac:dyDescent="0.3">
      <c r="A39">
        <v>358</v>
      </c>
      <c r="B39">
        <v>2791</v>
      </c>
      <c r="C39">
        <v>2021</v>
      </c>
      <c r="D39" t="s">
        <v>20</v>
      </c>
      <c r="E39" t="s">
        <v>134</v>
      </c>
      <c r="G39">
        <v>203.1</v>
      </c>
      <c r="H39" t="s">
        <v>22</v>
      </c>
      <c r="J39">
        <v>-10.83</v>
      </c>
      <c r="L39">
        <v>-22</v>
      </c>
      <c r="O39" t="s">
        <v>135</v>
      </c>
      <c r="R39" t="s">
        <v>29</v>
      </c>
      <c r="S39" t="s">
        <v>30</v>
      </c>
      <c r="T39" t="s">
        <v>136</v>
      </c>
    </row>
    <row r="40" spans="1:20" x14ac:dyDescent="0.3">
      <c r="A40">
        <v>18</v>
      </c>
      <c r="B40">
        <v>318</v>
      </c>
      <c r="C40">
        <v>2022</v>
      </c>
      <c r="D40" t="s">
        <v>20</v>
      </c>
      <c r="E40" t="s">
        <v>137</v>
      </c>
      <c r="G40">
        <v>17</v>
      </c>
      <c r="H40" t="s">
        <v>22</v>
      </c>
      <c r="J40">
        <v>31.76</v>
      </c>
      <c r="L40">
        <v>5.4</v>
      </c>
      <c r="O40" t="s">
        <v>138</v>
      </c>
      <c r="R40" t="s">
        <v>24</v>
      </c>
      <c r="S40" t="s">
        <v>25</v>
      </c>
      <c r="T40" t="s">
        <v>139</v>
      </c>
    </row>
    <row r="41" spans="1:20" x14ac:dyDescent="0.3">
      <c r="A41">
        <v>366</v>
      </c>
      <c r="B41">
        <v>2987</v>
      </c>
      <c r="C41">
        <v>2022</v>
      </c>
      <c r="D41" t="s">
        <v>20</v>
      </c>
      <c r="E41" t="s">
        <v>140</v>
      </c>
      <c r="G41">
        <v>1838.6</v>
      </c>
      <c r="H41" t="s">
        <v>47</v>
      </c>
      <c r="J41">
        <v>0</v>
      </c>
      <c r="L41">
        <v>0</v>
      </c>
      <c r="O41" t="s">
        <v>141</v>
      </c>
      <c r="R41" t="s">
        <v>24</v>
      </c>
      <c r="S41" t="s">
        <v>142</v>
      </c>
      <c r="T41" t="s">
        <v>143</v>
      </c>
    </row>
    <row r="42" spans="1:20" x14ac:dyDescent="0.3">
      <c r="A42">
        <v>30</v>
      </c>
      <c r="B42">
        <v>382</v>
      </c>
      <c r="C42">
        <v>2023</v>
      </c>
      <c r="D42" t="s">
        <v>20</v>
      </c>
      <c r="E42" t="s">
        <v>144</v>
      </c>
      <c r="G42">
        <v>177.5</v>
      </c>
      <c r="H42" t="s">
        <v>22</v>
      </c>
      <c r="J42">
        <v>0</v>
      </c>
      <c r="L42">
        <v>0</v>
      </c>
      <c r="O42" t="s">
        <v>145</v>
      </c>
      <c r="R42" t="s">
        <v>41</v>
      </c>
    </row>
    <row r="43" spans="1:20" x14ac:dyDescent="0.3">
      <c r="A43">
        <v>76</v>
      </c>
      <c r="B43">
        <v>623</v>
      </c>
      <c r="C43">
        <v>2023</v>
      </c>
      <c r="D43" t="s">
        <v>20</v>
      </c>
      <c r="E43" t="s">
        <v>146</v>
      </c>
      <c r="G43">
        <v>2023</v>
      </c>
      <c r="H43" t="s">
        <v>47</v>
      </c>
      <c r="J43">
        <v>0</v>
      </c>
      <c r="L43">
        <v>0</v>
      </c>
      <c r="O43" t="s">
        <v>147</v>
      </c>
      <c r="R43" t="s">
        <v>88</v>
      </c>
      <c r="S43" t="s">
        <v>148</v>
      </c>
      <c r="T43" t="s">
        <v>149</v>
      </c>
    </row>
    <row r="44" spans="1:20" x14ac:dyDescent="0.3">
      <c r="A44">
        <v>182</v>
      </c>
      <c r="B44">
        <v>1322</v>
      </c>
      <c r="C44">
        <v>2023</v>
      </c>
      <c r="D44" t="s">
        <v>20</v>
      </c>
      <c r="E44" t="s">
        <v>150</v>
      </c>
      <c r="H44" t="s">
        <v>28</v>
      </c>
      <c r="L44">
        <v>0</v>
      </c>
      <c r="O44" t="s">
        <v>151</v>
      </c>
      <c r="R44" t="s">
        <v>41</v>
      </c>
    </row>
    <row r="45" spans="1:20" x14ac:dyDescent="0.3">
      <c r="A45">
        <v>233</v>
      </c>
      <c r="B45">
        <v>1880</v>
      </c>
      <c r="C45">
        <v>2023</v>
      </c>
      <c r="D45" t="s">
        <v>20</v>
      </c>
      <c r="E45" t="s">
        <v>152</v>
      </c>
      <c r="G45">
        <v>4.8</v>
      </c>
      <c r="H45" t="s">
        <v>22</v>
      </c>
      <c r="J45">
        <v>41.67</v>
      </c>
      <c r="L45">
        <v>2</v>
      </c>
      <c r="O45" t="s">
        <v>153</v>
      </c>
      <c r="R45" t="s">
        <v>24</v>
      </c>
      <c r="S45" t="s">
        <v>142</v>
      </c>
      <c r="T45" t="s">
        <v>154</v>
      </c>
    </row>
    <row r="46" spans="1:20" x14ac:dyDescent="0.3">
      <c r="A46">
        <v>252</v>
      </c>
      <c r="B46">
        <v>1910</v>
      </c>
      <c r="C46">
        <v>2023</v>
      </c>
      <c r="D46" t="s">
        <v>20</v>
      </c>
      <c r="E46" t="s">
        <v>155</v>
      </c>
      <c r="G46">
        <v>207.7</v>
      </c>
      <c r="H46" t="s">
        <v>22</v>
      </c>
      <c r="J46">
        <v>0</v>
      </c>
      <c r="L46">
        <v>0</v>
      </c>
      <c r="O46" t="s">
        <v>156</v>
      </c>
      <c r="R46" t="s">
        <v>24</v>
      </c>
      <c r="S46" t="s">
        <v>37</v>
      </c>
      <c r="T46" t="s">
        <v>157</v>
      </c>
    </row>
    <row r="47" spans="1:20" x14ac:dyDescent="0.3">
      <c r="A47">
        <v>360</v>
      </c>
      <c r="B47">
        <v>2791</v>
      </c>
      <c r="C47">
        <v>2023</v>
      </c>
      <c r="D47" t="s">
        <v>20</v>
      </c>
      <c r="E47" t="s">
        <v>158</v>
      </c>
      <c r="G47">
        <v>240.9</v>
      </c>
      <c r="H47" t="s">
        <v>22</v>
      </c>
      <c r="J47">
        <v>-5.64</v>
      </c>
      <c r="L47">
        <v>-13.6</v>
      </c>
      <c r="O47" t="s">
        <v>159</v>
      </c>
      <c r="R47" t="s">
        <v>29</v>
      </c>
      <c r="S47" t="s">
        <v>30</v>
      </c>
      <c r="T47" t="s">
        <v>160</v>
      </c>
    </row>
    <row r="48" spans="1:20" x14ac:dyDescent="0.3">
      <c r="A48">
        <v>50</v>
      </c>
      <c r="B48">
        <v>435</v>
      </c>
      <c r="C48">
        <v>2024</v>
      </c>
      <c r="D48" t="s">
        <v>20</v>
      </c>
      <c r="E48" t="s">
        <v>161</v>
      </c>
      <c r="G48">
        <v>815</v>
      </c>
      <c r="H48" t="s">
        <v>162</v>
      </c>
      <c r="J48">
        <v>0</v>
      </c>
      <c r="L48">
        <v>0</v>
      </c>
      <c r="R48" t="s">
        <v>41</v>
      </c>
    </row>
    <row r="49" spans="1:18" x14ac:dyDescent="0.3">
      <c r="A49" t="s">
        <v>163</v>
      </c>
      <c r="B49">
        <v>1100</v>
      </c>
      <c r="C49">
        <v>2024</v>
      </c>
      <c r="D49" t="s">
        <v>56</v>
      </c>
      <c r="E49" t="s">
        <v>164</v>
      </c>
      <c r="H49" t="s">
        <v>58</v>
      </c>
    </row>
    <row r="50" spans="1:18" x14ac:dyDescent="0.3">
      <c r="A50">
        <v>117</v>
      </c>
      <c r="B50">
        <v>1176</v>
      </c>
      <c r="C50">
        <v>2024</v>
      </c>
      <c r="D50" t="s">
        <v>32</v>
      </c>
      <c r="E50" t="s">
        <v>165</v>
      </c>
      <c r="G50">
        <v>10.3</v>
      </c>
      <c r="H50" t="s">
        <v>22</v>
      </c>
      <c r="J50">
        <v>0</v>
      </c>
      <c r="L50">
        <v>0</v>
      </c>
      <c r="R50" t="s">
        <v>41</v>
      </c>
    </row>
    <row r="51" spans="1:18" x14ac:dyDescent="0.3">
      <c r="A51" t="s">
        <v>166</v>
      </c>
      <c r="B51">
        <v>1322</v>
      </c>
      <c r="C51">
        <v>2024</v>
      </c>
      <c r="D51" t="s">
        <v>56</v>
      </c>
      <c r="E51" t="s">
        <v>167</v>
      </c>
      <c r="H51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4" x14ac:dyDescent="0.3"/>
  <sheetData>
    <row r="1" spans="1:3" x14ac:dyDescent="0.3">
      <c r="A1" s="1" t="s">
        <v>168</v>
      </c>
      <c r="B1" s="1" t="s">
        <v>169</v>
      </c>
      <c r="C1" s="1" t="s">
        <v>170</v>
      </c>
    </row>
    <row r="2" spans="1:3" x14ac:dyDescent="0.3">
      <c r="A2" t="s">
        <v>171</v>
      </c>
      <c r="B2" t="s">
        <v>172</v>
      </c>
      <c r="C2" t="s">
        <v>173</v>
      </c>
    </row>
    <row r="3" spans="1:3" x14ac:dyDescent="0.3">
      <c r="A3" t="s">
        <v>174</v>
      </c>
      <c r="B3" t="s">
        <v>175</v>
      </c>
      <c r="C3" t="s">
        <v>176</v>
      </c>
    </row>
    <row r="4" spans="1:3" x14ac:dyDescent="0.3">
      <c r="A4" t="s">
        <v>177</v>
      </c>
      <c r="B4" t="s">
        <v>178</v>
      </c>
      <c r="C4" t="s">
        <v>179</v>
      </c>
    </row>
    <row r="5" spans="1:3" x14ac:dyDescent="0.3">
      <c r="A5" t="s">
        <v>180</v>
      </c>
      <c r="B5" t="s">
        <v>181</v>
      </c>
      <c r="C5" t="s">
        <v>182</v>
      </c>
    </row>
    <row r="6" spans="1:3" x14ac:dyDescent="0.3">
      <c r="A6" t="s">
        <v>183</v>
      </c>
      <c r="B6" t="s">
        <v>184</v>
      </c>
      <c r="C6" t="s">
        <v>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defaultRowHeight="14.4" x14ac:dyDescent="0.3"/>
  <sheetData>
    <row r="1" spans="1:1" x14ac:dyDescent="0.3">
      <c r="A1" s="1" t="s">
        <v>186</v>
      </c>
    </row>
    <row r="2" spans="1:1" x14ac:dyDescent="0.3">
      <c r="A2" t="s">
        <v>187</v>
      </c>
    </row>
    <row r="3" spans="1:1" x14ac:dyDescent="0.3">
      <c r="A3" t="s">
        <v>188</v>
      </c>
    </row>
    <row r="4" spans="1:1" x14ac:dyDescent="0.3">
      <c r="A4" t="s">
        <v>189</v>
      </c>
    </row>
    <row r="5" spans="1:1" x14ac:dyDescent="0.3">
      <c r="A5" t="s">
        <v>190</v>
      </c>
    </row>
    <row r="6" spans="1:1" x14ac:dyDescent="0.3">
      <c r="A6" t="s">
        <v>191</v>
      </c>
    </row>
    <row r="7" spans="1:1" x14ac:dyDescent="0.3">
      <c r="A7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Validation Sample</vt:lpstr>
      <vt:lpstr>Error Taxonomy</vt:lpstr>
      <vt:lpstr>Dataset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Colin Priest</cp:lastModifiedBy>
  <dcterms:created xsi:type="dcterms:W3CDTF">2026-03-11T08:10:13Z</dcterms:created>
  <dcterms:modified xsi:type="dcterms:W3CDTF">2026-03-11T12:33:29Z</dcterms:modified>
</cp:coreProperties>
</file>